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jabil-my.sharepoint.com/personal/hueihwang_lim_jabil_com/Documents/Desktop/Macro/"/>
    </mc:Choice>
  </mc:AlternateContent>
  <xr:revisionPtr revIDLastSave="1053" documentId="13_ncr:1_{1DCAF055-6137-48FF-91BB-3856C9D03820}" xr6:coauthVersionLast="47" xr6:coauthVersionMax="47" xr10:uidLastSave="{8DB25AB3-D0B9-492F-BABD-5896DFB43655}"/>
  <bookViews>
    <workbookView xWindow="-108" yWindow="-108" windowWidth="23256" windowHeight="12456" xr2:uid="{D7FC8A05-D9FC-4AD0-ABA8-D4E4FF1209B4}"/>
  </bookViews>
  <sheets>
    <sheet name="Close Fixed PR" sheetId="1" r:id="rId1"/>
    <sheet name="Combine PR" sheetId="2" r:id="rId2"/>
    <sheet name="Plan Order" sheetId="4" r:id="rId3"/>
    <sheet name="Summary" sheetId="5" r:id="rId4"/>
  </sheets>
  <definedNames>
    <definedName name="_xlnm._FilterDatabase" localSheetId="1" hidden="1">'Combine PR'!$A$3:$I$36</definedName>
    <definedName name="_xlnm._FilterDatabase" localSheetId="2" hidden="1">'Plan Order'!$A$1:$P$1</definedName>
  </definedNames>
  <calcPr calcId="191029"/>
  <pivotCaches>
    <pivotCache cacheId="10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2" l="1"/>
  <c r="E7" i="2"/>
  <c r="E6" i="2"/>
  <c r="E5" i="2"/>
  <c r="E4" i="2"/>
  <c r="F8" i="2"/>
  <c r="G8" i="2" s="1"/>
  <c r="F7" i="2"/>
  <c r="G7" i="2" s="1"/>
  <c r="F6" i="2"/>
  <c r="G6" i="2" s="1"/>
  <c r="F5" i="2"/>
  <c r="G5" i="2" s="1"/>
  <c r="F4" i="2"/>
  <c r="G4" i="2" s="1"/>
</calcChain>
</file>

<file path=xl/sharedStrings.xml><?xml version="1.0" encoding="utf-8"?>
<sst xmlns="http://schemas.openxmlformats.org/spreadsheetml/2006/main" count="355" uniqueCount="86">
  <si>
    <t>Fixed PR Number</t>
  </si>
  <si>
    <t xml:space="preserve">Qty need to combine </t>
  </si>
  <si>
    <t>Material</t>
  </si>
  <si>
    <t>Plant code</t>
  </si>
  <si>
    <t>me52n</t>
  </si>
  <si>
    <t>Result</t>
  </si>
  <si>
    <t>Close fix PR</t>
  </si>
  <si>
    <t>Create combine fix PR</t>
  </si>
  <si>
    <t>Row Labels</t>
  </si>
  <si>
    <t>Grand Total</t>
  </si>
  <si>
    <t>(blank)</t>
  </si>
  <si>
    <t>Remove Vendor Code</t>
  </si>
  <si>
    <t>X</t>
  </si>
  <si>
    <t>Sum of Rec./reqd.qty</t>
  </si>
  <si>
    <t>Purchase requisition 0284957210 changed</t>
  </si>
  <si>
    <t>Purchase requisition 0284955786 changed</t>
  </si>
  <si>
    <t>Purchase requisition 0284955829 changed</t>
  </si>
  <si>
    <t>Purchase requisition 0284956802 changed</t>
  </si>
  <si>
    <t>Purchase requisition 0284956803 changed</t>
  </si>
  <si>
    <t>my01</t>
  </si>
  <si>
    <t>Vendor Name</t>
  </si>
  <si>
    <t>Description</t>
  </si>
  <si>
    <t>n</t>
  </si>
  <si>
    <t>Rec./reqd.qty</t>
  </si>
  <si>
    <t>Del/finish</t>
  </si>
  <si>
    <t>Resch.date</t>
  </si>
  <si>
    <t>Exception Message</t>
  </si>
  <si>
    <t>Exc.</t>
  </si>
  <si>
    <t>MRP elemnt</t>
  </si>
  <si>
    <t>MRPCn</t>
  </si>
  <si>
    <t>Rounding val.</t>
  </si>
  <si>
    <t>Matl group</t>
  </si>
  <si>
    <t>Manufacturing Part Number</t>
  </si>
  <si>
    <t>EA</t>
  </si>
  <si>
    <t/>
  </si>
  <si>
    <t>Plan.order</t>
  </si>
  <si>
    <t>REIKO OH</t>
  </si>
  <si>
    <t>1994652582</t>
  </si>
  <si>
    <t>UIO</t>
  </si>
  <si>
    <t>1978582425</t>
  </si>
  <si>
    <t>1976462750</t>
  </si>
  <si>
    <t>1998279611</t>
  </si>
  <si>
    <t>1998279612</t>
  </si>
  <si>
    <t>1998279997</t>
  </si>
  <si>
    <t>1998279998</t>
  </si>
  <si>
    <t>1998279999</t>
  </si>
  <si>
    <t>1998280000</t>
  </si>
  <si>
    <t>1998280001</t>
  </si>
  <si>
    <t>1998280002</t>
  </si>
  <si>
    <t>1998280004</t>
  </si>
  <si>
    <t>1998280003</t>
  </si>
  <si>
    <t>1998280005</t>
  </si>
  <si>
    <t>1998280006</t>
  </si>
  <si>
    <t>1998280007</t>
  </si>
  <si>
    <t>1998280008</t>
  </si>
  <si>
    <t>1998280009</t>
  </si>
  <si>
    <t>1978784906</t>
  </si>
  <si>
    <t>1978784907</t>
  </si>
  <si>
    <t>1978784908</t>
  </si>
  <si>
    <t>1989273252</t>
  </si>
  <si>
    <t>1995342424</t>
  </si>
  <si>
    <t>Order proposal has been changed</t>
  </si>
  <si>
    <t>42</t>
  </si>
  <si>
    <t>1995342423</t>
  </si>
  <si>
    <t>1995342425</t>
  </si>
  <si>
    <t>Planned order 1998279611 converted to purchase requisition 248176239 00010</t>
  </si>
  <si>
    <t>Planned order 1998279997 converted to purchase requisition 248176420 00010</t>
  </si>
  <si>
    <t>Planned order 1995342423 converted to purchase requisition 248176421 00010</t>
  </si>
  <si>
    <t>Planned order 1994652582 converted to purchase requisition 248176424 00010</t>
  </si>
  <si>
    <t>Planned order 1989273252 converted to purchase requisition 248176425 00010</t>
  </si>
  <si>
    <t>PR Number</t>
  </si>
  <si>
    <t>SAP msg</t>
  </si>
  <si>
    <t>Plan Order Qty</t>
  </si>
  <si>
    <t>Remark</t>
  </si>
  <si>
    <t>ABC123-01</t>
  </si>
  <si>
    <t>ABC123-02</t>
  </si>
  <si>
    <t>ABC123-03</t>
  </si>
  <si>
    <t>ABC123-04</t>
  </si>
  <si>
    <t>ABC123-05</t>
  </si>
  <si>
    <t>JABIL</t>
  </si>
  <si>
    <t>ABC</t>
  </si>
  <si>
    <t>ABC123-01-22222</t>
  </si>
  <si>
    <t>ABC123-01-11111</t>
  </si>
  <si>
    <t>ABC123-01-33333</t>
  </si>
  <si>
    <t>ABC123-01-44444</t>
  </si>
  <si>
    <t>ABC123-01-55555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</si>
</sst>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#,##0.000"/>
    <numFmt numFmtId="166" formatCode="mm/dd/yyyy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2"/>
      <color rgb="FF000000"/>
      <name val="Aptos"/>
      <family val="2"/>
    </font>
    <font>
      <sz val="8"/>
      <color rgb="FF000000"/>
      <name val="Congenial Light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2" fillId="0" borderId="0"/>
  </cellStyleXfs>
  <cellXfs count="30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1" applyNumberFormat="1" applyFont="1"/>
    <xf numFmtId="164" fontId="0" fillId="0" borderId="0" xfId="0" applyNumberFormat="1"/>
    <xf numFmtId="164" fontId="0" fillId="2" borderId="1" xfId="1" applyNumberFormat="1" applyFont="1" applyFill="1" applyBorder="1"/>
    <xf numFmtId="0" fontId="0" fillId="2" borderId="1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3" fontId="0" fillId="0" borderId="0" xfId="0" applyNumberFormat="1"/>
    <xf numFmtId="0" fontId="4" fillId="0" borderId="2" xfId="0" applyFont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164" fontId="4" fillId="4" borderId="2" xfId="1" applyNumberFormat="1" applyFont="1" applyFill="1" applyBorder="1" applyAlignment="1">
      <alignment horizontal="center" vertical="center"/>
    </xf>
    <xf numFmtId="164" fontId="4" fillId="0" borderId="2" xfId="1" applyNumberFormat="1" applyFont="1" applyBorder="1" applyAlignment="1">
      <alignment horizontal="center" vertical="center"/>
    </xf>
    <xf numFmtId="164" fontId="4" fillId="0" borderId="2" xfId="1" applyNumberFormat="1" applyFont="1" applyBorder="1" applyAlignment="1">
      <alignment horizontal="left" vertical="center"/>
    </xf>
    <xf numFmtId="0" fontId="5" fillId="4" borderId="2" xfId="0" applyFont="1" applyFill="1" applyBorder="1" applyAlignment="1">
      <alignment horizontal="center" vertical="center"/>
    </xf>
    <xf numFmtId="164" fontId="5" fillId="4" borderId="2" xfId="1" applyNumberFormat="1" applyFont="1" applyFill="1" applyBorder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left"/>
    </xf>
    <xf numFmtId="49" fontId="0" fillId="6" borderId="0" xfId="0" applyNumberFormat="1" applyFill="1"/>
    <xf numFmtId="165" fontId="0" fillId="0" borderId="0" xfId="0" applyNumberFormat="1"/>
    <xf numFmtId="49" fontId="0" fillId="0" borderId="0" xfId="0" applyNumberFormat="1"/>
    <xf numFmtId="166" fontId="0" fillId="0" borderId="0" xfId="0" applyNumberFormat="1"/>
    <xf numFmtId="2" fontId="0" fillId="5" borderId="0" xfId="0" applyNumberFormat="1" applyFill="1"/>
    <xf numFmtId="2" fontId="0" fillId="6" borderId="0" xfId="0" applyNumberFormat="1" applyFill="1"/>
    <xf numFmtId="2" fontId="0" fillId="0" borderId="0" xfId="0" applyNumberFormat="1"/>
    <xf numFmtId="0" fontId="0" fillId="2" borderId="0" xfId="0" applyFill="1"/>
    <xf numFmtId="164" fontId="0" fillId="2" borderId="0" xfId="1" applyNumberFormat="1" applyFont="1" applyFill="1"/>
  </cellXfs>
  <cellStyles count="3">
    <cellStyle name="Comma" xfId="1" builtinId="3"/>
    <cellStyle name="Normal" xfId="0" builtinId="0"/>
    <cellStyle name="Normal 159" xfId="2" xr:uid="{6B42C8C2-4A18-4839-BBCD-2D1ED69E48CE}"/>
  </cellStyles>
  <dxfs count="3">
    <dxf>
      <numFmt numFmtId="164" formatCode="_(* #,##0_);_(* \(#,##0\);_(* &quot;-&quot;??_);_(@_)"/>
    </dxf>
    <dxf>
      <numFmt numFmtId="164" formatCode="_(* #,##0_);_(* \(#,##0\);_(* &quot;-&quot;??_);_(@_)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693420</xdr:colOff>
          <xdr:row>2</xdr:row>
          <xdr:rowOff>0</xdr:rowOff>
        </xdr:from>
        <xdr:to>
          <xdr:col>5</xdr:col>
          <xdr:colOff>1226820</xdr:colOff>
          <xdr:row>3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Close PR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4457700</xdr:colOff>
          <xdr:row>0</xdr:row>
          <xdr:rowOff>22860</xdr:rowOff>
        </xdr:from>
        <xdr:to>
          <xdr:col>4</xdr:col>
          <xdr:colOff>22860</xdr:colOff>
          <xdr:row>1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Convert PR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617220</xdr:colOff>
          <xdr:row>0</xdr:row>
          <xdr:rowOff>22860</xdr:rowOff>
        </xdr:from>
        <xdr:to>
          <xdr:col>6</xdr:col>
          <xdr:colOff>22860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Validate PR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ueiHwang Lim" refreshedDate="45889.901581018516" createdVersion="8" refreshedVersion="8" minRefreshableVersion="3" recordCount="27" xr:uid="{580B6B02-42DB-4FF9-B051-C04C273B6BF4}">
  <cacheSource type="worksheet">
    <worksheetSource ref="A1:P1048576" sheet="Plan Order"/>
  </cacheSource>
  <cacheFields count="16">
    <cacheField name="Vendor Name" numFmtId="0">
      <sharedItems containsBlank="1"/>
    </cacheField>
    <cacheField name="Description" numFmtId="0">
      <sharedItems containsBlank="1"/>
    </cacheField>
    <cacheField name="Material" numFmtId="2">
      <sharedItems containsBlank="1" containsMixedTypes="1" containsNumber="1" containsInteger="1" minValue="188127102" maxValue="188611050" count="12">
        <s v="ABC123-01"/>
        <s v="ABC123-02"/>
        <s v="ABC123-03"/>
        <s v="ABC123-04"/>
        <s v="ABC123-05"/>
        <m/>
        <n v="188605156" u="1"/>
        <n v="188611050" u="1"/>
        <n v="188127227" u="1"/>
        <n v="188127102" u="1"/>
        <n v="188179531" u="1"/>
        <n v="188180513" u="1"/>
      </sharedItems>
    </cacheField>
    <cacheField name="n" numFmtId="0">
      <sharedItems containsBlank="1"/>
    </cacheField>
    <cacheField name="Rec./reqd.qty" numFmtId="0">
      <sharedItems containsString="0" containsBlank="1" containsNumber="1" containsInteger="1" minValue="4000" maxValue="1190000"/>
    </cacheField>
    <cacheField name="Rec./reqd.qty2" numFmtId="0">
      <sharedItems containsBlank="1"/>
    </cacheField>
    <cacheField name="Del/finish" numFmtId="0">
      <sharedItems containsNonDate="0" containsDate="1" containsString="0" containsBlank="1" minDate="2025-11-18T00:00:00" maxDate="2026-11-11T00:00:00"/>
    </cacheField>
    <cacheField name="Resch.date" numFmtId="0">
      <sharedItems containsNonDate="0" containsString="0" containsBlank="1"/>
    </cacheField>
    <cacheField name="Exception Message" numFmtId="0">
      <sharedItems containsBlank="1"/>
    </cacheField>
    <cacheField name="Exc." numFmtId="0">
      <sharedItems containsBlank="1"/>
    </cacheField>
    <cacheField name="MRP elemnt" numFmtId="0">
      <sharedItems containsBlank="1"/>
    </cacheField>
    <cacheField name="MRPCn" numFmtId="0">
      <sharedItems containsBlank="1"/>
    </cacheField>
    <cacheField name="Rounding val." numFmtId="0">
      <sharedItems containsString="0" containsBlank="1" containsNumber="1" containsInteger="1" minValue="4000" maxValue="10000"/>
    </cacheField>
    <cacheField name="Rounding val.2" numFmtId="0">
      <sharedItems containsBlank="1"/>
    </cacheField>
    <cacheField name="Matl group" numFmtId="0">
      <sharedItems containsBlank="1"/>
    </cacheField>
    <cacheField name="Manufacturing Part Numb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s v="JABIL CIRCUIT SPORE PTE LTD (IMAC)"/>
    <s v="REIKO OH"/>
    <x v="0"/>
    <s v="1978784906"/>
    <n v="10000"/>
    <s v="EA"/>
    <d v="2026-03-29T00:00:00"/>
    <m/>
    <s v=""/>
    <s v=""/>
    <s v="Plan.order"/>
    <s v="UIO"/>
    <n v="5000"/>
    <s v="EA"/>
    <s v="INFINERA"/>
    <s v="RK73H2ATTD1003F"/>
  </r>
  <r>
    <s v="JABIL CIRCUIT SPORE PTE LTD (IMAC)"/>
    <s v="REIKO OH"/>
    <x v="0"/>
    <s v="1978784907"/>
    <n v="5000"/>
    <s v="EA"/>
    <d v="2026-07-12T00:00:00"/>
    <m/>
    <s v=""/>
    <s v=""/>
    <s v="Plan.order"/>
    <s v="UIO"/>
    <n v="5000"/>
    <s v="EA"/>
    <s v="INFINERA"/>
    <s v="RK73H2ATTD1003F"/>
  </r>
  <r>
    <s v="JABIL CIRCUIT SPORE PTE LTD (IMAC)"/>
    <s v="REIKO OH"/>
    <x v="0"/>
    <s v="1978784908"/>
    <n v="5000"/>
    <s v="EA"/>
    <d v="2026-09-27T00:00:00"/>
    <m/>
    <s v=""/>
    <s v=""/>
    <s v="Plan.order"/>
    <s v="UIO"/>
    <n v="5000"/>
    <s v="EA"/>
    <s v="INFINERA"/>
    <s v="RK73H2ATTD1003F"/>
  </r>
  <r>
    <s v="JABIL CIRCUIT SPORE PTE LTD (IMAC)"/>
    <s v="REIKO OH"/>
    <x v="0"/>
    <s v="1989273252"/>
    <n v="5000"/>
    <s v="EA"/>
    <d v="2026-01-04T00:00:00"/>
    <m/>
    <s v=""/>
    <s v=""/>
    <s v="Plan.order"/>
    <s v="UIO"/>
    <n v="5000"/>
    <s v="EA"/>
    <s v="INFINERA"/>
    <s v="RK73H2ATTD1003F"/>
  </r>
  <r>
    <s v="JABIL CIRCUIT SPORE PTE LTD (IMAC)"/>
    <s v="REIKO OH"/>
    <x v="1"/>
    <s v="1994652582"/>
    <n v="4000"/>
    <s v="EA"/>
    <d v="2025-12-23T00:00:00"/>
    <m/>
    <s v=""/>
    <s v=""/>
    <s v="Plan.order"/>
    <s v="UIO"/>
    <n v="4000"/>
    <s v="EA"/>
    <s v="INFINERA"/>
    <s v="RK73H3ATTE6191F"/>
  </r>
  <r>
    <s v="JABIL CIRCUIT SPORE PTE LTD (IMAC)"/>
    <s v="REIKO OH"/>
    <x v="1"/>
    <s v="1978582425"/>
    <n v="4000"/>
    <s v="EA"/>
    <d v="2026-03-24T00:00:00"/>
    <m/>
    <s v=""/>
    <s v=""/>
    <s v="Plan.order"/>
    <s v="UIO"/>
    <n v="4000"/>
    <s v="EA"/>
    <s v="INFINERA"/>
    <s v="RK73H3ATTE6191F"/>
  </r>
  <r>
    <s v="JABIL CIRCUIT SPORE PTE LTD (IMAC)"/>
    <s v="REIKO OH"/>
    <x v="1"/>
    <s v="1976462750"/>
    <n v="4000"/>
    <s v="EA"/>
    <d v="2026-09-29T00:00:00"/>
    <m/>
    <s v=""/>
    <s v=""/>
    <s v="Plan.order"/>
    <s v="UIO"/>
    <n v="4000"/>
    <s v="EA"/>
    <s v="INFINERA"/>
    <s v="RK73H3ATTE6191F"/>
  </r>
  <r>
    <s v="JABIL CIRCUIT SPORE PTE LTD (IMAC)"/>
    <s v="REIKO OH"/>
    <x v="2"/>
    <s v="1998279611"/>
    <n v="10000"/>
    <s v="EA"/>
    <d v="2026-02-17T00:00:00"/>
    <m/>
    <s v=""/>
    <s v=""/>
    <s v="Plan.order"/>
    <s v="UIO"/>
    <n v="10000"/>
    <s v="EA"/>
    <s v="INFINERA"/>
    <s v="RT0402BRD07866RL"/>
  </r>
  <r>
    <s v="JABIL CIRCUIT SPORE PTE LTD (IMAC)"/>
    <s v="REIKO OH"/>
    <x v="2"/>
    <s v="1998279612"/>
    <n v="10000"/>
    <s v="EA"/>
    <d v="2026-10-13T00:00:00"/>
    <m/>
    <s v=""/>
    <s v=""/>
    <s v="Plan.order"/>
    <s v="UIO"/>
    <n v="10000"/>
    <s v="EA"/>
    <s v="INFINERA"/>
    <s v="RT0402BRD07866RL"/>
  </r>
  <r>
    <s v="JABIL CIRCUIT SPORE PTE LTD (IMAC)"/>
    <s v="REIKO OH"/>
    <x v="3"/>
    <s v="1995342424"/>
    <n v="5000"/>
    <s v="EA"/>
    <d v="2026-06-16T00:00:00"/>
    <m/>
    <s v="Order proposal has been changed"/>
    <s v="42"/>
    <s v="Plan.order"/>
    <s v="UIO"/>
    <n v="5000"/>
    <s v="EA"/>
    <s v="INFINERA"/>
    <s v="RC0603FR-07150KL"/>
  </r>
  <r>
    <s v="JABIL CIRCUIT SPORE PTE LTD (IMAC)"/>
    <s v="REIKO OH"/>
    <x v="3"/>
    <s v="1995342423"/>
    <n v="5000"/>
    <s v="EA"/>
    <d v="2026-01-13T00:00:00"/>
    <m/>
    <s v=""/>
    <s v=""/>
    <s v="Plan.order"/>
    <s v="UIO"/>
    <n v="5000"/>
    <s v="EA"/>
    <s v="INFINERA"/>
    <s v="RC0603FR-07150KL"/>
  </r>
  <r>
    <s v="JABIL CIRCUIT SPORE PTE LTD (IMAC)"/>
    <s v="REIKO OH"/>
    <x v="3"/>
    <s v="1995342425"/>
    <n v="5000"/>
    <s v="EA"/>
    <d v="2026-09-15T00:00:00"/>
    <m/>
    <s v=""/>
    <s v=""/>
    <s v="Plan.order"/>
    <s v="UIO"/>
    <n v="5000"/>
    <s v="EA"/>
    <s v="INFINERA"/>
    <s v="RC0603FR-07150KL"/>
  </r>
  <r>
    <s v="JABIL CIRCUIT SPORE PTE LTD (IMAC)"/>
    <s v="REIKO OH"/>
    <x v="4"/>
    <s v="1998279997"/>
    <n v="140000"/>
    <s v="EA"/>
    <d v="2025-11-18T00:00:00"/>
    <m/>
    <s v=""/>
    <s v=""/>
    <s v="Plan.order"/>
    <s v="UIO"/>
    <n v="10000"/>
    <s v="EA"/>
    <s v="INFINERA"/>
    <s v="CC0402KRX7R7BB104"/>
  </r>
  <r>
    <s v="JABIL CIRCUIT SPORE PTE LTD (IMAC)"/>
    <s v="REIKO OH"/>
    <x v="4"/>
    <s v="1998279998"/>
    <n v="460000"/>
    <s v="EA"/>
    <d v="2025-12-16T00:00:00"/>
    <m/>
    <s v=""/>
    <s v=""/>
    <s v="Plan.order"/>
    <s v="UIO"/>
    <n v="10000"/>
    <s v="EA"/>
    <s v="INFINERA"/>
    <s v="CC0402KRX7R7BB104"/>
  </r>
  <r>
    <s v="JABIL CIRCUIT SPORE PTE LTD (IMAC)"/>
    <s v="REIKO OH"/>
    <x v="4"/>
    <s v="1998279999"/>
    <n v="240000"/>
    <s v="EA"/>
    <d v="2026-01-13T00:00:00"/>
    <m/>
    <s v=""/>
    <s v=""/>
    <s v="Plan.order"/>
    <s v="UIO"/>
    <n v="10000"/>
    <s v="EA"/>
    <s v="INFINERA"/>
    <s v="CC0402KRX7R7BB104"/>
  </r>
  <r>
    <s v="JABIL CIRCUIT SPORE PTE LTD (IMAC)"/>
    <s v="REIKO OH"/>
    <x v="4"/>
    <s v="1998280000"/>
    <n v="30000"/>
    <s v="EA"/>
    <d v="2026-02-10T00:00:00"/>
    <m/>
    <s v=""/>
    <s v=""/>
    <s v="Plan.order"/>
    <s v="UIO"/>
    <n v="10000"/>
    <s v="EA"/>
    <s v="INFINERA"/>
    <s v="CC0402KRX7R7BB104"/>
  </r>
  <r>
    <s v="JABIL CIRCUIT SPORE PTE LTD (IMAC)"/>
    <s v="REIKO OH"/>
    <x v="4"/>
    <s v="1998280001"/>
    <n v="720000"/>
    <s v="EA"/>
    <d v="2026-03-10T00:00:00"/>
    <m/>
    <s v=""/>
    <s v=""/>
    <s v="Plan.order"/>
    <s v="UIO"/>
    <n v="10000"/>
    <s v="EA"/>
    <s v="INFINERA"/>
    <s v="CC0402KRX7R7BB104"/>
  </r>
  <r>
    <s v="JABIL CIRCUIT SPORE PTE LTD (IMAC)"/>
    <s v="REIKO OH"/>
    <x v="4"/>
    <s v="1998280002"/>
    <n v="150000"/>
    <s v="EA"/>
    <d v="2026-04-07T00:00:00"/>
    <m/>
    <s v=""/>
    <s v=""/>
    <s v="Plan.order"/>
    <s v="UIO"/>
    <n v="10000"/>
    <s v="EA"/>
    <s v="INFINERA"/>
    <s v="CC0402KRX7R7BB104"/>
  </r>
  <r>
    <s v="JABIL CIRCUIT SPORE PTE LTD (IMAC)"/>
    <s v="REIKO OH"/>
    <x v="4"/>
    <s v="1998280004"/>
    <n v="960000"/>
    <s v="EA"/>
    <d v="2026-06-09T00:00:00"/>
    <m/>
    <s v=""/>
    <s v=""/>
    <s v="Plan.order"/>
    <s v="UIO"/>
    <n v="10000"/>
    <s v="EA"/>
    <s v="INFINERA"/>
    <s v="CC0402KRX7R7BB104"/>
  </r>
  <r>
    <s v="JABIL CIRCUIT SPORE PTE LTD (IMAC)"/>
    <s v="REIKO OH"/>
    <x v="4"/>
    <s v="1998280003"/>
    <n v="380000"/>
    <s v="EA"/>
    <d v="2026-05-05T00:00:00"/>
    <m/>
    <s v=""/>
    <s v=""/>
    <s v="Plan.order"/>
    <s v="UIO"/>
    <n v="10000"/>
    <s v="EA"/>
    <s v="INFINERA"/>
    <s v="CC0402KRX7R7BB104"/>
  </r>
  <r>
    <s v="JABIL CIRCUIT SPORE PTE LTD (IMAC)"/>
    <s v="REIKO OH"/>
    <x v="4"/>
    <s v="1998280005"/>
    <n v="90000"/>
    <s v="EA"/>
    <d v="2026-07-07T00:00:00"/>
    <m/>
    <s v=""/>
    <s v=""/>
    <s v="Plan.order"/>
    <s v="UIO"/>
    <n v="10000"/>
    <s v="EA"/>
    <s v="INFINERA"/>
    <s v="CC0402KRX7R7BB104"/>
  </r>
  <r>
    <s v="JABIL CIRCUIT SPORE PTE LTD (IMAC)"/>
    <s v="REIKO OH"/>
    <x v="4"/>
    <s v="1998280006"/>
    <n v="410000"/>
    <s v="EA"/>
    <d v="2026-08-11T00:00:00"/>
    <m/>
    <s v=""/>
    <s v=""/>
    <s v="Plan.order"/>
    <s v="UIO"/>
    <n v="10000"/>
    <s v="EA"/>
    <s v="INFINERA"/>
    <s v="CC0402KRX7R7BB104"/>
  </r>
  <r>
    <s v="JABIL CIRCUIT SPORE PTE LTD (IMAC)"/>
    <s v="REIKO OH"/>
    <x v="4"/>
    <s v="1998280007"/>
    <n v="1190000"/>
    <s v="EA"/>
    <d v="2026-09-08T00:00:00"/>
    <m/>
    <s v=""/>
    <s v=""/>
    <s v="Plan.order"/>
    <s v="UIO"/>
    <n v="10000"/>
    <s v="EA"/>
    <s v="INFINERA"/>
    <s v="CC0402KRX7R7BB104"/>
  </r>
  <r>
    <s v="JABIL CIRCUIT SPORE PTE LTD (IMAC)"/>
    <s v="REIKO OH"/>
    <x v="4"/>
    <s v="1998280008"/>
    <n v="90000"/>
    <s v="EA"/>
    <d v="2026-10-06T00:00:00"/>
    <m/>
    <s v=""/>
    <s v=""/>
    <s v="Plan.order"/>
    <s v="UIO"/>
    <n v="10000"/>
    <s v="EA"/>
    <s v="INFINERA"/>
    <s v="CC0402KRX7R7BB104"/>
  </r>
  <r>
    <s v="JABIL CIRCUIT SPORE PTE LTD (IMAC)"/>
    <s v="REIKO OH"/>
    <x v="4"/>
    <s v="1998280009"/>
    <n v="500000"/>
    <s v="EA"/>
    <d v="2026-11-10T00:00:00"/>
    <m/>
    <s v=""/>
    <s v=""/>
    <s v="Plan.order"/>
    <s v="UIO"/>
    <n v="10000"/>
    <s v="EA"/>
    <s v="INFINERA"/>
    <s v="CC0402KRX7R7BB104"/>
  </r>
  <r>
    <m/>
    <m/>
    <x v="5"/>
    <m/>
    <m/>
    <m/>
    <m/>
    <m/>
    <m/>
    <m/>
    <m/>
    <m/>
    <m/>
    <m/>
    <m/>
    <m/>
  </r>
  <r>
    <m/>
    <m/>
    <x v="5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790F5F-F345-4D5C-B424-DD22D9D2E4A3}" name="PivotTable1" cacheId="10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8" firstHeaderRow="1" firstDataRow="1" firstDataCol="1"/>
  <pivotFields count="16">
    <pivotField showAll="0"/>
    <pivotField showAll="0"/>
    <pivotField axis="axisRow" showAll="0">
      <items count="13">
        <item x="5"/>
        <item m="1" x="8"/>
        <item m="1" x="6"/>
        <item m="1" x="7"/>
        <item m="1" x="9"/>
        <item m="1" x="10"/>
        <item m="1" x="11"/>
        <item x="0"/>
        <item x="1"/>
        <item x="2"/>
        <item x="3"/>
        <item x="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7">
    <i>
      <x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Rec./reqd.qty" fld="4" baseField="0" baseItem="0" numFmtId="16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9151-5DC1-41F4-B829-135B8CC0A47A}">
  <sheetPr codeName="Sheet1"/>
  <dimension ref="A1:B8"/>
  <sheetViews>
    <sheetView tabSelected="1" zoomScale="85" zoomScaleNormal="85" workbookViewId="0">
      <selection activeCell="B34" sqref="B34"/>
    </sheetView>
  </sheetViews>
  <sheetFormatPr defaultRowHeight="14.4" x14ac:dyDescent="0.3"/>
  <cols>
    <col min="1" max="1" width="17.33203125" bestFit="1" customWidth="1"/>
    <col min="2" max="2" width="37.6640625" bestFit="1" customWidth="1"/>
    <col min="3" max="3" width="4.77734375" customWidth="1"/>
    <col min="4" max="4" width="17.88671875" bestFit="1" customWidth="1"/>
    <col min="5" max="5" width="10.109375" bestFit="1" customWidth="1"/>
    <col min="6" max="7" width="17.88671875" bestFit="1" customWidth="1"/>
    <col min="8" max="8" width="11.5546875" customWidth="1"/>
  </cols>
  <sheetData>
    <row r="1" spans="1:2" x14ac:dyDescent="0.3">
      <c r="A1" s="3" t="s">
        <v>6</v>
      </c>
    </row>
    <row r="2" spans="1:2" x14ac:dyDescent="0.3">
      <c r="A2" t="s">
        <v>4</v>
      </c>
    </row>
    <row r="3" spans="1:2" x14ac:dyDescent="0.3">
      <c r="A3" s="1" t="s">
        <v>0</v>
      </c>
      <c r="B3" s="2" t="s">
        <v>5</v>
      </c>
    </row>
    <row r="4" spans="1:2" x14ac:dyDescent="0.3">
      <c r="A4">
        <v>284957210</v>
      </c>
      <c r="B4" t="s">
        <v>14</v>
      </c>
    </row>
    <row r="5" spans="1:2" x14ac:dyDescent="0.3">
      <c r="A5">
        <v>284955786</v>
      </c>
      <c r="B5" t="s">
        <v>15</v>
      </c>
    </row>
    <row r="6" spans="1:2" x14ac:dyDescent="0.3">
      <c r="A6">
        <v>284955829</v>
      </c>
      <c r="B6" t="s">
        <v>16</v>
      </c>
    </row>
    <row r="7" spans="1:2" x14ac:dyDescent="0.3">
      <c r="A7">
        <v>284956802</v>
      </c>
      <c r="B7" t="s">
        <v>17</v>
      </c>
    </row>
    <row r="8" spans="1:2" x14ac:dyDescent="0.3">
      <c r="A8">
        <v>284956803</v>
      </c>
      <c r="B8" t="s">
        <v>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ose_Fixed_PR">
                <anchor moveWithCells="1" sizeWithCells="1">
                  <from>
                    <xdr:col>4</xdr:col>
                    <xdr:colOff>693420</xdr:colOff>
                    <xdr:row>2</xdr:row>
                    <xdr:rowOff>0</xdr:rowOff>
                  </from>
                  <to>
                    <xdr:col>5</xdr:col>
                    <xdr:colOff>1226820</xdr:colOff>
                    <xdr:row>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DAA4-999B-4205-B35F-01D7766ADE9F}">
  <sheetPr codeName="Sheet2"/>
  <dimension ref="A1:L32"/>
  <sheetViews>
    <sheetView workbookViewId="0">
      <selection activeCell="B2" sqref="B2"/>
    </sheetView>
  </sheetViews>
  <sheetFormatPr defaultRowHeight="14.4" x14ac:dyDescent="0.3"/>
  <cols>
    <col min="1" max="1" width="17.88671875" bestFit="1" customWidth="1"/>
    <col min="2" max="2" width="17.88671875" style="6" bestFit="1" customWidth="1"/>
    <col min="3" max="3" width="65.5546875" bestFit="1" customWidth="1"/>
    <col min="4" max="5" width="10" bestFit="1" customWidth="1"/>
    <col min="6" max="6" width="13" style="6" bestFit="1" customWidth="1"/>
    <col min="7" max="7" width="7.21875" bestFit="1" customWidth="1"/>
    <col min="8" max="8" width="5.44140625" customWidth="1"/>
    <col min="9" max="9" width="18.33203125" bestFit="1" customWidth="1"/>
    <col min="10" max="10" width="14.88671875" bestFit="1" customWidth="1"/>
  </cols>
  <sheetData>
    <row r="1" spans="1:12" x14ac:dyDescent="0.3">
      <c r="A1" s="3" t="s">
        <v>7</v>
      </c>
      <c r="H1" s="9" t="s">
        <v>12</v>
      </c>
      <c r="I1" s="1" t="s">
        <v>11</v>
      </c>
      <c r="K1" s="11"/>
    </row>
    <row r="2" spans="1:12" x14ac:dyDescent="0.3">
      <c r="A2" s="1" t="s">
        <v>3</v>
      </c>
      <c r="B2" s="6" t="s">
        <v>19</v>
      </c>
      <c r="K2" s="11"/>
    </row>
    <row r="3" spans="1:12" x14ac:dyDescent="0.3">
      <c r="A3" s="1" t="s">
        <v>2</v>
      </c>
      <c r="B3" s="8" t="s">
        <v>1</v>
      </c>
      <c r="C3" s="1" t="s">
        <v>71</v>
      </c>
      <c r="D3" s="28"/>
      <c r="E3" s="28" t="s">
        <v>70</v>
      </c>
      <c r="F3" s="29" t="s">
        <v>72</v>
      </c>
      <c r="G3" s="28" t="s">
        <v>73</v>
      </c>
      <c r="K3" s="11"/>
    </row>
    <row r="4" spans="1:12" x14ac:dyDescent="0.3">
      <c r="A4" s="17" t="s">
        <v>74</v>
      </c>
      <c r="B4" s="18">
        <v>3000</v>
      </c>
      <c r="C4" t="s">
        <v>65</v>
      </c>
      <c r="E4" t="str">
        <f>_xlfn.TEXTBEFORE(_xlfn.TEXTAFTER(C4,"purchase requisition "), " ")</f>
        <v>248176239</v>
      </c>
      <c r="F4" s="6">
        <f>IFERROR(_xlfn.XLOOKUP(A4,Summary!A:A,Summary!B:B),0)</f>
        <v>25000</v>
      </c>
      <c r="G4" t="str">
        <f>IF(F4&gt;=B4,"Ok",IF(F4=0,"Check if SA part","Not enough Plan Order"))</f>
        <v>Ok</v>
      </c>
      <c r="J4" s="5"/>
      <c r="K4" s="11"/>
      <c r="L4" s="11"/>
    </row>
    <row r="5" spans="1:12" x14ac:dyDescent="0.3">
      <c r="A5" s="17" t="s">
        <v>75</v>
      </c>
      <c r="B5" s="18">
        <v>10000</v>
      </c>
      <c r="C5" t="s">
        <v>66</v>
      </c>
      <c r="E5" t="str">
        <f>_xlfn.TEXTBEFORE(_xlfn.TEXTAFTER(C5,"purchase requisition "), " ")</f>
        <v>248176420</v>
      </c>
      <c r="F5" s="6">
        <f>IFERROR(_xlfn.XLOOKUP(A5,Summary!A:A,Summary!B:B),0)</f>
        <v>12000</v>
      </c>
      <c r="G5" t="str">
        <f>IF(F5&gt;=B5,"Ok",IF(F5=0,"Check if SA part","Not enough Plan Order"))</f>
        <v>Ok</v>
      </c>
      <c r="J5" s="5"/>
      <c r="K5" s="11"/>
      <c r="L5" s="11"/>
    </row>
    <row r="6" spans="1:12" ht="15.6" x14ac:dyDescent="0.3">
      <c r="A6" s="13" t="s">
        <v>76</v>
      </c>
      <c r="B6" s="14">
        <v>2000</v>
      </c>
      <c r="C6" t="s">
        <v>67</v>
      </c>
      <c r="E6" t="str">
        <f>_xlfn.TEXTBEFORE(_xlfn.TEXTAFTER(C6,"purchase requisition "), " ")</f>
        <v>248176421</v>
      </c>
      <c r="F6" s="6">
        <f>IFERROR(_xlfn.XLOOKUP(A6,Summary!A:A,Summary!B:B),0)</f>
        <v>20000</v>
      </c>
      <c r="G6" t="str">
        <f>IF(F6&gt;=B6,"Ok",IF(F6=0,"Check if SA part","Not enough Plan Order"))</f>
        <v>Ok</v>
      </c>
      <c r="J6" s="5"/>
      <c r="K6" s="11"/>
      <c r="L6" s="11"/>
    </row>
    <row r="7" spans="1:12" ht="15.6" x14ac:dyDescent="0.3">
      <c r="A7" s="13" t="s">
        <v>77</v>
      </c>
      <c r="B7" s="14">
        <v>4000</v>
      </c>
      <c r="C7" t="s">
        <v>68</v>
      </c>
      <c r="E7" t="str">
        <f>_xlfn.TEXTBEFORE(_xlfn.TEXTAFTER(C7,"purchase requisition "), " ")</f>
        <v>248176424</v>
      </c>
      <c r="F7" s="6">
        <f>IFERROR(_xlfn.XLOOKUP(A7,Summary!A:A,Summary!B:B),0)</f>
        <v>15000</v>
      </c>
      <c r="G7" t="str">
        <f>IF(F7&gt;=B7,"Ok",IF(F7=0,"Check if SA part","Not enough Plan Order"))</f>
        <v>Ok</v>
      </c>
      <c r="J7" s="5"/>
      <c r="K7" s="11"/>
      <c r="L7" s="11"/>
    </row>
    <row r="8" spans="1:12" ht="15.6" x14ac:dyDescent="0.3">
      <c r="A8" s="13" t="s">
        <v>78</v>
      </c>
      <c r="B8" s="14">
        <v>2000</v>
      </c>
      <c r="C8" t="s">
        <v>69</v>
      </c>
      <c r="E8" t="str">
        <f>_xlfn.TEXTBEFORE(_xlfn.TEXTAFTER(C8,"purchase requisition "), " ")</f>
        <v>248176425</v>
      </c>
      <c r="F8" s="6">
        <f>IFERROR(_xlfn.XLOOKUP(A8,Summary!A:A,Summary!B:B),0)</f>
        <v>5360000</v>
      </c>
      <c r="G8" t="str">
        <f>IF(F8&gt;=B8,"Ok",IF(F8=0,"Check if SA part","Not enough Plan Order"))</f>
        <v>Ok</v>
      </c>
      <c r="J8" s="5"/>
      <c r="K8" s="11"/>
      <c r="L8" s="11"/>
    </row>
    <row r="9" spans="1:12" ht="15.6" x14ac:dyDescent="0.3">
      <c r="A9" s="13"/>
      <c r="B9" s="14"/>
      <c r="J9" s="5"/>
      <c r="K9" s="11"/>
      <c r="L9" s="11"/>
    </row>
    <row r="10" spans="1:12" ht="15.6" x14ac:dyDescent="0.3">
      <c r="A10" s="13"/>
      <c r="B10" s="14"/>
      <c r="J10" s="5"/>
      <c r="K10" s="11"/>
      <c r="L10" s="11"/>
    </row>
    <row r="11" spans="1:12" ht="15.6" x14ac:dyDescent="0.3">
      <c r="A11" s="13"/>
      <c r="B11" s="14"/>
      <c r="J11" s="5"/>
      <c r="K11" s="11"/>
      <c r="L11" s="11"/>
    </row>
    <row r="12" spans="1:12" ht="15.6" x14ac:dyDescent="0.3">
      <c r="A12" s="13"/>
      <c r="B12" s="14"/>
      <c r="J12" s="5"/>
      <c r="K12" s="11"/>
      <c r="L12" s="11"/>
    </row>
    <row r="13" spans="1:12" ht="15.6" x14ac:dyDescent="0.3">
      <c r="A13" s="13"/>
      <c r="B13" s="14"/>
      <c r="J13" s="5"/>
      <c r="K13" s="11"/>
    </row>
    <row r="14" spans="1:12" ht="15.6" x14ac:dyDescent="0.3">
      <c r="A14" s="13"/>
      <c r="B14" s="14"/>
      <c r="J14" s="5"/>
      <c r="K14" s="11"/>
    </row>
    <row r="15" spans="1:12" ht="15.6" x14ac:dyDescent="0.3">
      <c r="A15" s="13"/>
      <c r="B15" s="14"/>
      <c r="J15" s="5"/>
      <c r="K15" s="11"/>
    </row>
    <row r="16" spans="1:12" ht="15.6" x14ac:dyDescent="0.3">
      <c r="A16" s="13"/>
      <c r="B16" s="14"/>
      <c r="J16" s="5"/>
      <c r="K16" s="11"/>
    </row>
    <row r="17" spans="1:11" ht="15.6" x14ac:dyDescent="0.3">
      <c r="A17" s="13"/>
      <c r="B17" s="14"/>
      <c r="J17" s="5"/>
      <c r="K17" s="11"/>
    </row>
    <row r="18" spans="1:11" ht="15.6" x14ac:dyDescent="0.3">
      <c r="A18" s="13"/>
      <c r="B18" s="14"/>
      <c r="J18" s="5"/>
      <c r="K18" s="11"/>
    </row>
    <row r="19" spans="1:11" ht="15.6" x14ac:dyDescent="0.3">
      <c r="A19" s="13"/>
      <c r="B19" s="14"/>
      <c r="J19" s="5"/>
      <c r="K19" s="11"/>
    </row>
    <row r="20" spans="1:11" ht="15.6" x14ac:dyDescent="0.3">
      <c r="A20" s="13"/>
      <c r="B20" s="14"/>
      <c r="J20" s="5"/>
      <c r="K20" s="11"/>
    </row>
    <row r="21" spans="1:11" ht="15.6" x14ac:dyDescent="0.3">
      <c r="A21" s="13"/>
      <c r="B21" s="14"/>
      <c r="J21" s="5"/>
      <c r="K21" s="11"/>
    </row>
    <row r="22" spans="1:11" ht="15.6" x14ac:dyDescent="0.3">
      <c r="A22" s="12"/>
      <c r="B22" s="15"/>
      <c r="J22" s="5"/>
      <c r="K22" s="11"/>
    </row>
    <row r="23" spans="1:11" ht="15.6" x14ac:dyDescent="0.3">
      <c r="A23" s="12"/>
      <c r="B23" s="15"/>
      <c r="J23" s="5"/>
      <c r="K23" s="11"/>
    </row>
    <row r="24" spans="1:11" ht="15.6" x14ac:dyDescent="0.3">
      <c r="A24" s="12"/>
      <c r="B24" s="15"/>
      <c r="K24" s="11"/>
    </row>
    <row r="25" spans="1:11" ht="15.6" x14ac:dyDescent="0.3">
      <c r="A25" s="12"/>
      <c r="B25" s="15"/>
    </row>
    <row r="26" spans="1:11" ht="15.6" x14ac:dyDescent="0.3">
      <c r="A26" s="12"/>
      <c r="B26" s="15"/>
    </row>
    <row r="27" spans="1:11" ht="15.6" x14ac:dyDescent="0.3">
      <c r="A27" s="10"/>
      <c r="B27" s="16"/>
    </row>
    <row r="28" spans="1:11" ht="15.6" x14ac:dyDescent="0.3">
      <c r="A28" s="10"/>
      <c r="B28" s="16"/>
    </row>
    <row r="29" spans="1:11" ht="15.6" x14ac:dyDescent="0.3">
      <c r="A29" s="10"/>
      <c r="B29" s="16"/>
    </row>
    <row r="30" spans="1:11" ht="15.6" x14ac:dyDescent="0.3">
      <c r="A30" s="10"/>
      <c r="B30" s="16"/>
    </row>
    <row r="31" spans="1:11" ht="15.6" x14ac:dyDescent="0.3">
      <c r="A31" s="10"/>
      <c r="B31" s="16"/>
    </row>
    <row r="32" spans="1:11" ht="15.6" x14ac:dyDescent="0.3">
      <c r="A32" s="10"/>
      <c r="B32" s="16"/>
    </row>
  </sheetData>
  <autoFilter ref="A3:I36" xr:uid="{6034DAA4-999B-4205-B35F-01D7766ADE9F}">
    <sortState xmlns:xlrd2="http://schemas.microsoft.com/office/spreadsheetml/2017/richdata2" ref="A4:I26">
      <sortCondition ref="A3"/>
    </sortState>
  </autoFilter>
  <conditionalFormatting sqref="A1:A1048576">
    <cfRule type="duplicateValues" dxfId="2" priority="2"/>
  </conditionalFormatting>
  <dataValidations disablePrompts="1" count="1">
    <dataValidation type="list" allowBlank="1" showInputMessage="1" showErrorMessage="1" sqref="H1" xr:uid="{764464DA-EE9F-4CFF-8792-853D2C3DA9E3}">
      <formula1>"X"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mbine_PR">
                <anchor moveWithCells="1" sizeWithCells="1">
                  <from>
                    <xdr:col>2</xdr:col>
                    <xdr:colOff>4457700</xdr:colOff>
                    <xdr:row>0</xdr:row>
                    <xdr:rowOff>22860</xdr:rowOff>
                  </from>
                  <to>
                    <xdr:col>4</xdr:col>
                    <xdr:colOff>22860</xdr:colOff>
                    <xdr:row>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alidate_PR">
                <anchor moveWithCells="1" sizeWithCells="1">
                  <from>
                    <xdr:col>4</xdr:col>
                    <xdr:colOff>617220</xdr:colOff>
                    <xdr:row>0</xdr:row>
                    <xdr:rowOff>22860</xdr:rowOff>
                  </from>
                  <to>
                    <xdr:col>6</xdr:col>
                    <xdr:colOff>22860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E87A9-297B-40AC-85B9-B83B015BEE6F}">
  <sheetPr codeName="Sheet4"/>
  <dimension ref="A1:P26"/>
  <sheetViews>
    <sheetView workbookViewId="0">
      <selection activeCell="L2" sqref="L2"/>
    </sheetView>
  </sheetViews>
  <sheetFormatPr defaultColWidth="7.21875" defaultRowHeight="14.4" x14ac:dyDescent="0.3"/>
  <cols>
    <col min="1" max="1" width="30.88671875" bestFit="1" customWidth="1"/>
    <col min="2" max="2" width="15.109375" bestFit="1" customWidth="1"/>
    <col min="3" max="3" width="14.88671875" style="27" bestFit="1" customWidth="1"/>
    <col min="4" max="4" width="11" bestFit="1" customWidth="1"/>
    <col min="5" max="5" width="13.77734375" bestFit="1" customWidth="1"/>
    <col min="6" max="6" width="11.88671875" bestFit="1" customWidth="1"/>
    <col min="7" max="7" width="10.33203125" bestFit="1" customWidth="1"/>
    <col min="8" max="8" width="10.109375" bestFit="1" customWidth="1"/>
    <col min="9" max="9" width="16.33203125" bestFit="1" customWidth="1"/>
    <col min="10" max="10" width="4.33203125" bestFit="1" customWidth="1"/>
    <col min="11" max="11" width="10.5546875" bestFit="1" customWidth="1"/>
    <col min="12" max="12" width="6.88671875" bestFit="1" customWidth="1"/>
    <col min="13" max="14" width="11.5546875" bestFit="1" customWidth="1"/>
    <col min="15" max="15" width="10.44140625" bestFit="1" customWidth="1"/>
    <col min="16" max="16" width="23.44140625" bestFit="1" customWidth="1"/>
  </cols>
  <sheetData>
    <row r="1" spans="1:16" x14ac:dyDescent="0.3">
      <c r="A1" s="19" t="s">
        <v>20</v>
      </c>
      <c r="B1" s="19" t="s">
        <v>21</v>
      </c>
      <c r="C1" s="25" t="s">
        <v>2</v>
      </c>
      <c r="D1" s="19" t="s">
        <v>22</v>
      </c>
      <c r="E1" s="20" t="s">
        <v>23</v>
      </c>
      <c r="F1" s="20" t="s">
        <v>23</v>
      </c>
      <c r="G1" s="20" t="s">
        <v>24</v>
      </c>
      <c r="H1" s="20" t="s">
        <v>25</v>
      </c>
      <c r="I1" s="20" t="s">
        <v>26</v>
      </c>
      <c r="J1" s="20" t="s">
        <v>27</v>
      </c>
      <c r="K1" s="20" t="s">
        <v>28</v>
      </c>
      <c r="L1" s="20" t="s">
        <v>29</v>
      </c>
      <c r="M1" s="20" t="s">
        <v>30</v>
      </c>
      <c r="N1" s="20" t="s">
        <v>30</v>
      </c>
      <c r="O1" s="20" t="s">
        <v>31</v>
      </c>
      <c r="P1" s="20" t="s">
        <v>32</v>
      </c>
    </row>
    <row r="2" spans="1:16" x14ac:dyDescent="0.3">
      <c r="A2" s="21" t="s">
        <v>79</v>
      </c>
      <c r="B2" s="21" t="s">
        <v>36</v>
      </c>
      <c r="C2" s="26" t="s">
        <v>74</v>
      </c>
      <c r="D2" s="21" t="s">
        <v>56</v>
      </c>
      <c r="E2" s="22">
        <v>10000</v>
      </c>
      <c r="F2" s="23" t="s">
        <v>33</v>
      </c>
      <c r="G2" s="24">
        <v>46110</v>
      </c>
      <c r="H2" s="24"/>
      <c r="I2" s="23" t="s">
        <v>34</v>
      </c>
      <c r="J2" s="23" t="s">
        <v>34</v>
      </c>
      <c r="K2" s="23" t="s">
        <v>35</v>
      </c>
      <c r="L2" s="23" t="s">
        <v>38</v>
      </c>
      <c r="M2" s="22">
        <v>5000</v>
      </c>
      <c r="N2" s="23" t="s">
        <v>33</v>
      </c>
      <c r="O2" s="23" t="s">
        <v>80</v>
      </c>
      <c r="P2" s="23" t="s">
        <v>82</v>
      </c>
    </row>
    <row r="3" spans="1:16" x14ac:dyDescent="0.3">
      <c r="A3" s="21" t="s">
        <v>79</v>
      </c>
      <c r="B3" s="21" t="s">
        <v>36</v>
      </c>
      <c r="C3" s="26" t="s">
        <v>74</v>
      </c>
      <c r="D3" s="21" t="s">
        <v>57</v>
      </c>
      <c r="E3" s="22">
        <v>5000</v>
      </c>
      <c r="F3" s="23" t="s">
        <v>33</v>
      </c>
      <c r="G3" s="24">
        <v>46215</v>
      </c>
      <c r="H3" s="24"/>
      <c r="I3" s="23" t="s">
        <v>34</v>
      </c>
      <c r="J3" s="23" t="s">
        <v>34</v>
      </c>
      <c r="K3" s="23" t="s">
        <v>35</v>
      </c>
      <c r="L3" s="23" t="s">
        <v>38</v>
      </c>
      <c r="M3" s="22">
        <v>5000</v>
      </c>
      <c r="N3" s="23" t="s">
        <v>33</v>
      </c>
      <c r="O3" s="23" t="s">
        <v>80</v>
      </c>
      <c r="P3" s="23" t="s">
        <v>82</v>
      </c>
    </row>
    <row r="4" spans="1:16" x14ac:dyDescent="0.3">
      <c r="A4" s="21" t="s">
        <v>79</v>
      </c>
      <c r="B4" s="21" t="s">
        <v>36</v>
      </c>
      <c r="C4" s="26" t="s">
        <v>74</v>
      </c>
      <c r="D4" s="21" t="s">
        <v>58</v>
      </c>
      <c r="E4" s="22">
        <v>5000</v>
      </c>
      <c r="F4" s="23" t="s">
        <v>33</v>
      </c>
      <c r="G4" s="24">
        <v>46292</v>
      </c>
      <c r="H4" s="24"/>
      <c r="I4" s="23" t="s">
        <v>34</v>
      </c>
      <c r="J4" s="23" t="s">
        <v>34</v>
      </c>
      <c r="K4" s="23" t="s">
        <v>35</v>
      </c>
      <c r="L4" s="23" t="s">
        <v>38</v>
      </c>
      <c r="M4" s="22">
        <v>5000</v>
      </c>
      <c r="N4" s="23" t="s">
        <v>33</v>
      </c>
      <c r="O4" s="23" t="s">
        <v>80</v>
      </c>
      <c r="P4" s="23" t="s">
        <v>82</v>
      </c>
    </row>
    <row r="5" spans="1:16" x14ac:dyDescent="0.3">
      <c r="A5" s="21" t="s">
        <v>79</v>
      </c>
      <c r="B5" s="21" t="s">
        <v>36</v>
      </c>
      <c r="C5" s="26" t="s">
        <v>74</v>
      </c>
      <c r="D5" s="21" t="s">
        <v>59</v>
      </c>
      <c r="E5" s="22">
        <v>5000</v>
      </c>
      <c r="F5" s="23" t="s">
        <v>33</v>
      </c>
      <c r="G5" s="24">
        <v>46026</v>
      </c>
      <c r="H5" s="24"/>
      <c r="I5" s="23" t="s">
        <v>34</v>
      </c>
      <c r="J5" s="23" t="s">
        <v>34</v>
      </c>
      <c r="K5" s="23" t="s">
        <v>35</v>
      </c>
      <c r="L5" s="23" t="s">
        <v>38</v>
      </c>
      <c r="M5" s="22">
        <v>5000</v>
      </c>
      <c r="N5" s="23" t="s">
        <v>33</v>
      </c>
      <c r="O5" s="23" t="s">
        <v>80</v>
      </c>
      <c r="P5" s="23" t="s">
        <v>82</v>
      </c>
    </row>
    <row r="6" spans="1:16" x14ac:dyDescent="0.3">
      <c r="A6" s="21" t="s">
        <v>79</v>
      </c>
      <c r="B6" s="21" t="s">
        <v>36</v>
      </c>
      <c r="C6" s="26" t="s">
        <v>75</v>
      </c>
      <c r="D6" s="21" t="s">
        <v>37</v>
      </c>
      <c r="E6" s="22">
        <v>4000</v>
      </c>
      <c r="F6" s="23" t="s">
        <v>33</v>
      </c>
      <c r="G6" s="24">
        <v>46014</v>
      </c>
      <c r="H6" s="24"/>
      <c r="I6" s="23" t="s">
        <v>34</v>
      </c>
      <c r="J6" s="23" t="s">
        <v>34</v>
      </c>
      <c r="K6" s="23" t="s">
        <v>35</v>
      </c>
      <c r="L6" s="23" t="s">
        <v>38</v>
      </c>
      <c r="M6" s="22">
        <v>4000</v>
      </c>
      <c r="N6" s="23" t="s">
        <v>33</v>
      </c>
      <c r="O6" s="23" t="s">
        <v>80</v>
      </c>
      <c r="P6" s="23" t="s">
        <v>81</v>
      </c>
    </row>
    <row r="7" spans="1:16" x14ac:dyDescent="0.3">
      <c r="A7" s="21" t="s">
        <v>79</v>
      </c>
      <c r="B7" s="21" t="s">
        <v>36</v>
      </c>
      <c r="C7" s="26" t="s">
        <v>75</v>
      </c>
      <c r="D7" s="21" t="s">
        <v>39</v>
      </c>
      <c r="E7" s="22">
        <v>4000</v>
      </c>
      <c r="F7" s="23" t="s">
        <v>33</v>
      </c>
      <c r="G7" s="24">
        <v>46105</v>
      </c>
      <c r="H7" s="24"/>
      <c r="I7" s="23" t="s">
        <v>34</v>
      </c>
      <c r="J7" s="23" t="s">
        <v>34</v>
      </c>
      <c r="K7" s="23" t="s">
        <v>35</v>
      </c>
      <c r="L7" s="23" t="s">
        <v>38</v>
      </c>
      <c r="M7" s="22">
        <v>4000</v>
      </c>
      <c r="N7" s="23" t="s">
        <v>33</v>
      </c>
      <c r="O7" s="23" t="s">
        <v>80</v>
      </c>
      <c r="P7" s="23" t="s">
        <v>81</v>
      </c>
    </row>
    <row r="8" spans="1:16" x14ac:dyDescent="0.3">
      <c r="A8" s="21" t="s">
        <v>79</v>
      </c>
      <c r="B8" s="21" t="s">
        <v>36</v>
      </c>
      <c r="C8" s="26" t="s">
        <v>75</v>
      </c>
      <c r="D8" s="21" t="s">
        <v>40</v>
      </c>
      <c r="E8" s="22">
        <v>4000</v>
      </c>
      <c r="F8" s="23" t="s">
        <v>33</v>
      </c>
      <c r="G8" s="24">
        <v>46294</v>
      </c>
      <c r="H8" s="24"/>
      <c r="I8" s="23" t="s">
        <v>34</v>
      </c>
      <c r="J8" s="23" t="s">
        <v>34</v>
      </c>
      <c r="K8" s="23" t="s">
        <v>35</v>
      </c>
      <c r="L8" s="23" t="s">
        <v>38</v>
      </c>
      <c r="M8" s="22">
        <v>4000</v>
      </c>
      <c r="N8" s="23" t="s">
        <v>33</v>
      </c>
      <c r="O8" s="23" t="s">
        <v>80</v>
      </c>
      <c r="P8" s="23" t="s">
        <v>81</v>
      </c>
    </row>
    <row r="9" spans="1:16" x14ac:dyDescent="0.3">
      <c r="A9" s="21" t="s">
        <v>79</v>
      </c>
      <c r="B9" s="21" t="s">
        <v>36</v>
      </c>
      <c r="C9" s="26" t="s">
        <v>76</v>
      </c>
      <c r="D9" s="21" t="s">
        <v>41</v>
      </c>
      <c r="E9" s="22">
        <v>10000</v>
      </c>
      <c r="F9" s="23" t="s">
        <v>33</v>
      </c>
      <c r="G9" s="24">
        <v>46070</v>
      </c>
      <c r="H9" s="24"/>
      <c r="I9" s="23" t="s">
        <v>34</v>
      </c>
      <c r="J9" s="23" t="s">
        <v>34</v>
      </c>
      <c r="K9" s="23" t="s">
        <v>35</v>
      </c>
      <c r="L9" s="23" t="s">
        <v>38</v>
      </c>
      <c r="M9" s="22">
        <v>10000</v>
      </c>
      <c r="N9" s="23" t="s">
        <v>33</v>
      </c>
      <c r="O9" s="23" t="s">
        <v>80</v>
      </c>
      <c r="P9" s="23" t="s">
        <v>83</v>
      </c>
    </row>
    <row r="10" spans="1:16" x14ac:dyDescent="0.3">
      <c r="A10" s="21" t="s">
        <v>79</v>
      </c>
      <c r="B10" s="21" t="s">
        <v>36</v>
      </c>
      <c r="C10" s="26" t="s">
        <v>76</v>
      </c>
      <c r="D10" s="21" t="s">
        <v>42</v>
      </c>
      <c r="E10" s="22">
        <v>10000</v>
      </c>
      <c r="F10" s="23" t="s">
        <v>33</v>
      </c>
      <c r="G10" s="24">
        <v>46308</v>
      </c>
      <c r="H10" s="24"/>
      <c r="I10" s="23" t="s">
        <v>34</v>
      </c>
      <c r="J10" s="23" t="s">
        <v>34</v>
      </c>
      <c r="K10" s="23" t="s">
        <v>35</v>
      </c>
      <c r="L10" s="23" t="s">
        <v>38</v>
      </c>
      <c r="M10" s="22">
        <v>10000</v>
      </c>
      <c r="N10" s="23" t="s">
        <v>33</v>
      </c>
      <c r="O10" s="23" t="s">
        <v>80</v>
      </c>
      <c r="P10" s="23" t="s">
        <v>83</v>
      </c>
    </row>
    <row r="11" spans="1:16" x14ac:dyDescent="0.3">
      <c r="A11" s="21" t="s">
        <v>79</v>
      </c>
      <c r="B11" s="21" t="s">
        <v>36</v>
      </c>
      <c r="C11" s="26" t="s">
        <v>77</v>
      </c>
      <c r="D11" s="21" t="s">
        <v>60</v>
      </c>
      <c r="E11" s="22">
        <v>5000</v>
      </c>
      <c r="F11" s="23" t="s">
        <v>33</v>
      </c>
      <c r="G11" s="24">
        <v>46189</v>
      </c>
      <c r="H11" s="24"/>
      <c r="I11" s="23" t="s">
        <v>61</v>
      </c>
      <c r="J11" s="23" t="s">
        <v>62</v>
      </c>
      <c r="K11" s="23" t="s">
        <v>35</v>
      </c>
      <c r="L11" s="23" t="s">
        <v>38</v>
      </c>
      <c r="M11" s="22">
        <v>5000</v>
      </c>
      <c r="N11" s="23" t="s">
        <v>33</v>
      </c>
      <c r="O11" s="23" t="s">
        <v>80</v>
      </c>
      <c r="P11" s="23" t="s">
        <v>84</v>
      </c>
    </row>
    <row r="12" spans="1:16" x14ac:dyDescent="0.3">
      <c r="A12" s="21" t="s">
        <v>79</v>
      </c>
      <c r="B12" s="21" t="s">
        <v>36</v>
      </c>
      <c r="C12" s="26" t="s">
        <v>77</v>
      </c>
      <c r="D12" s="21" t="s">
        <v>63</v>
      </c>
      <c r="E12" s="22">
        <v>5000</v>
      </c>
      <c r="F12" s="23" t="s">
        <v>33</v>
      </c>
      <c r="G12" s="24">
        <v>46035</v>
      </c>
      <c r="H12" s="24"/>
      <c r="I12" s="23" t="s">
        <v>34</v>
      </c>
      <c r="J12" s="23" t="s">
        <v>34</v>
      </c>
      <c r="K12" s="23" t="s">
        <v>35</v>
      </c>
      <c r="L12" s="23" t="s">
        <v>38</v>
      </c>
      <c r="M12" s="22">
        <v>5000</v>
      </c>
      <c r="N12" s="23" t="s">
        <v>33</v>
      </c>
      <c r="O12" s="23" t="s">
        <v>80</v>
      </c>
      <c r="P12" s="23" t="s">
        <v>84</v>
      </c>
    </row>
    <row r="13" spans="1:16" x14ac:dyDescent="0.3">
      <c r="A13" s="21" t="s">
        <v>79</v>
      </c>
      <c r="B13" s="21" t="s">
        <v>36</v>
      </c>
      <c r="C13" s="26" t="s">
        <v>77</v>
      </c>
      <c r="D13" s="21" t="s">
        <v>64</v>
      </c>
      <c r="E13" s="22">
        <v>5000</v>
      </c>
      <c r="F13" s="23" t="s">
        <v>33</v>
      </c>
      <c r="G13" s="24">
        <v>46280</v>
      </c>
      <c r="H13" s="24"/>
      <c r="I13" s="23" t="s">
        <v>34</v>
      </c>
      <c r="J13" s="23" t="s">
        <v>34</v>
      </c>
      <c r="K13" s="23" t="s">
        <v>35</v>
      </c>
      <c r="L13" s="23" t="s">
        <v>38</v>
      </c>
      <c r="M13" s="22">
        <v>5000</v>
      </c>
      <c r="N13" s="23" t="s">
        <v>33</v>
      </c>
      <c r="O13" s="23" t="s">
        <v>80</v>
      </c>
      <c r="P13" s="23" t="s">
        <v>84</v>
      </c>
    </row>
    <row r="14" spans="1:16" x14ac:dyDescent="0.3">
      <c r="A14" s="21" t="s">
        <v>79</v>
      </c>
      <c r="B14" s="21" t="s">
        <v>36</v>
      </c>
      <c r="C14" s="26" t="s">
        <v>78</v>
      </c>
      <c r="D14" s="21" t="s">
        <v>43</v>
      </c>
      <c r="E14" s="22">
        <v>140000</v>
      </c>
      <c r="F14" s="23" t="s">
        <v>33</v>
      </c>
      <c r="G14" s="24">
        <v>45979</v>
      </c>
      <c r="H14" s="24"/>
      <c r="I14" s="23" t="s">
        <v>34</v>
      </c>
      <c r="J14" s="23" t="s">
        <v>34</v>
      </c>
      <c r="K14" s="23" t="s">
        <v>35</v>
      </c>
      <c r="L14" s="23" t="s">
        <v>38</v>
      </c>
      <c r="M14" s="22">
        <v>10000</v>
      </c>
      <c r="N14" s="23" t="s">
        <v>33</v>
      </c>
      <c r="O14" s="23" t="s">
        <v>80</v>
      </c>
      <c r="P14" s="23" t="s">
        <v>85</v>
      </c>
    </row>
    <row r="15" spans="1:16" x14ac:dyDescent="0.3">
      <c r="A15" s="21" t="s">
        <v>79</v>
      </c>
      <c r="B15" s="21" t="s">
        <v>36</v>
      </c>
      <c r="C15" s="26" t="s">
        <v>78</v>
      </c>
      <c r="D15" s="21" t="s">
        <v>44</v>
      </c>
      <c r="E15" s="22">
        <v>460000</v>
      </c>
      <c r="F15" s="23" t="s">
        <v>33</v>
      </c>
      <c r="G15" s="24">
        <v>46007</v>
      </c>
      <c r="H15" s="24"/>
      <c r="I15" s="23" t="s">
        <v>34</v>
      </c>
      <c r="J15" s="23" t="s">
        <v>34</v>
      </c>
      <c r="K15" s="23" t="s">
        <v>35</v>
      </c>
      <c r="L15" s="23" t="s">
        <v>38</v>
      </c>
      <c r="M15" s="22">
        <v>10000</v>
      </c>
      <c r="N15" s="23" t="s">
        <v>33</v>
      </c>
      <c r="O15" s="23" t="s">
        <v>80</v>
      </c>
      <c r="P15" s="23" t="s">
        <v>85</v>
      </c>
    </row>
    <row r="16" spans="1:16" x14ac:dyDescent="0.3">
      <c r="A16" s="21" t="s">
        <v>79</v>
      </c>
      <c r="B16" s="21" t="s">
        <v>36</v>
      </c>
      <c r="C16" s="26" t="s">
        <v>78</v>
      </c>
      <c r="D16" s="21" t="s">
        <v>45</v>
      </c>
      <c r="E16" s="22">
        <v>240000</v>
      </c>
      <c r="F16" s="23" t="s">
        <v>33</v>
      </c>
      <c r="G16" s="24">
        <v>46035</v>
      </c>
      <c r="H16" s="24"/>
      <c r="I16" s="23" t="s">
        <v>34</v>
      </c>
      <c r="J16" s="23" t="s">
        <v>34</v>
      </c>
      <c r="K16" s="23" t="s">
        <v>35</v>
      </c>
      <c r="L16" s="23" t="s">
        <v>38</v>
      </c>
      <c r="M16" s="22">
        <v>10000</v>
      </c>
      <c r="N16" s="23" t="s">
        <v>33</v>
      </c>
      <c r="O16" s="23" t="s">
        <v>80</v>
      </c>
      <c r="P16" s="23" t="s">
        <v>85</v>
      </c>
    </row>
    <row r="17" spans="1:16" x14ac:dyDescent="0.3">
      <c r="A17" s="21" t="s">
        <v>79</v>
      </c>
      <c r="B17" s="21" t="s">
        <v>36</v>
      </c>
      <c r="C17" s="26" t="s">
        <v>78</v>
      </c>
      <c r="D17" s="21" t="s">
        <v>46</v>
      </c>
      <c r="E17" s="22">
        <v>30000</v>
      </c>
      <c r="F17" s="23" t="s">
        <v>33</v>
      </c>
      <c r="G17" s="24">
        <v>46063</v>
      </c>
      <c r="H17" s="24"/>
      <c r="I17" s="23" t="s">
        <v>34</v>
      </c>
      <c r="J17" s="23" t="s">
        <v>34</v>
      </c>
      <c r="K17" s="23" t="s">
        <v>35</v>
      </c>
      <c r="L17" s="23" t="s">
        <v>38</v>
      </c>
      <c r="M17" s="22">
        <v>10000</v>
      </c>
      <c r="N17" s="23" t="s">
        <v>33</v>
      </c>
      <c r="O17" s="23" t="s">
        <v>80</v>
      </c>
      <c r="P17" s="23" t="s">
        <v>85</v>
      </c>
    </row>
    <row r="18" spans="1:16" x14ac:dyDescent="0.3">
      <c r="A18" s="21" t="s">
        <v>79</v>
      </c>
      <c r="B18" s="21" t="s">
        <v>36</v>
      </c>
      <c r="C18" s="26" t="s">
        <v>78</v>
      </c>
      <c r="D18" s="21" t="s">
        <v>47</v>
      </c>
      <c r="E18" s="22">
        <v>720000</v>
      </c>
      <c r="F18" s="23" t="s">
        <v>33</v>
      </c>
      <c r="G18" s="24">
        <v>46091</v>
      </c>
      <c r="H18" s="24"/>
      <c r="I18" s="23" t="s">
        <v>34</v>
      </c>
      <c r="J18" s="23" t="s">
        <v>34</v>
      </c>
      <c r="K18" s="23" t="s">
        <v>35</v>
      </c>
      <c r="L18" s="23" t="s">
        <v>38</v>
      </c>
      <c r="M18" s="22">
        <v>10000</v>
      </c>
      <c r="N18" s="23" t="s">
        <v>33</v>
      </c>
      <c r="O18" s="23" t="s">
        <v>80</v>
      </c>
      <c r="P18" s="23" t="s">
        <v>85</v>
      </c>
    </row>
    <row r="19" spans="1:16" x14ac:dyDescent="0.3">
      <c r="A19" s="21" t="s">
        <v>79</v>
      </c>
      <c r="B19" s="21" t="s">
        <v>36</v>
      </c>
      <c r="C19" s="26" t="s">
        <v>78</v>
      </c>
      <c r="D19" s="21" t="s">
        <v>48</v>
      </c>
      <c r="E19" s="22">
        <v>150000</v>
      </c>
      <c r="F19" s="23" t="s">
        <v>33</v>
      </c>
      <c r="G19" s="24">
        <v>46119</v>
      </c>
      <c r="H19" s="24"/>
      <c r="I19" s="23" t="s">
        <v>34</v>
      </c>
      <c r="J19" s="23" t="s">
        <v>34</v>
      </c>
      <c r="K19" s="23" t="s">
        <v>35</v>
      </c>
      <c r="L19" s="23" t="s">
        <v>38</v>
      </c>
      <c r="M19" s="22">
        <v>10000</v>
      </c>
      <c r="N19" s="23" t="s">
        <v>33</v>
      </c>
      <c r="O19" s="23" t="s">
        <v>80</v>
      </c>
      <c r="P19" s="23" t="s">
        <v>85</v>
      </c>
    </row>
    <row r="20" spans="1:16" x14ac:dyDescent="0.3">
      <c r="A20" s="21" t="s">
        <v>79</v>
      </c>
      <c r="B20" s="21" t="s">
        <v>36</v>
      </c>
      <c r="C20" s="26" t="s">
        <v>78</v>
      </c>
      <c r="D20" s="21" t="s">
        <v>49</v>
      </c>
      <c r="E20" s="22">
        <v>960000</v>
      </c>
      <c r="F20" s="23" t="s">
        <v>33</v>
      </c>
      <c r="G20" s="24">
        <v>46182</v>
      </c>
      <c r="H20" s="24"/>
      <c r="I20" s="23" t="s">
        <v>34</v>
      </c>
      <c r="J20" s="23" t="s">
        <v>34</v>
      </c>
      <c r="K20" s="23" t="s">
        <v>35</v>
      </c>
      <c r="L20" s="23" t="s">
        <v>38</v>
      </c>
      <c r="M20" s="22">
        <v>10000</v>
      </c>
      <c r="N20" s="23" t="s">
        <v>33</v>
      </c>
      <c r="O20" s="23" t="s">
        <v>80</v>
      </c>
      <c r="P20" s="23" t="s">
        <v>85</v>
      </c>
    </row>
    <row r="21" spans="1:16" x14ac:dyDescent="0.3">
      <c r="A21" s="21" t="s">
        <v>79</v>
      </c>
      <c r="B21" s="21" t="s">
        <v>36</v>
      </c>
      <c r="C21" s="26" t="s">
        <v>78</v>
      </c>
      <c r="D21" s="21" t="s">
        <v>50</v>
      </c>
      <c r="E21" s="22">
        <v>380000</v>
      </c>
      <c r="F21" s="23" t="s">
        <v>33</v>
      </c>
      <c r="G21" s="24">
        <v>46147</v>
      </c>
      <c r="H21" s="24"/>
      <c r="I21" s="23" t="s">
        <v>34</v>
      </c>
      <c r="J21" s="23" t="s">
        <v>34</v>
      </c>
      <c r="K21" s="23" t="s">
        <v>35</v>
      </c>
      <c r="L21" s="23" t="s">
        <v>38</v>
      </c>
      <c r="M21" s="22">
        <v>10000</v>
      </c>
      <c r="N21" s="23" t="s">
        <v>33</v>
      </c>
      <c r="O21" s="23" t="s">
        <v>80</v>
      </c>
      <c r="P21" s="23" t="s">
        <v>85</v>
      </c>
    </row>
    <row r="22" spans="1:16" x14ac:dyDescent="0.3">
      <c r="A22" s="21" t="s">
        <v>79</v>
      </c>
      <c r="B22" s="21" t="s">
        <v>36</v>
      </c>
      <c r="C22" s="26" t="s">
        <v>78</v>
      </c>
      <c r="D22" s="21" t="s">
        <v>51</v>
      </c>
      <c r="E22" s="22">
        <v>90000</v>
      </c>
      <c r="F22" s="23" t="s">
        <v>33</v>
      </c>
      <c r="G22" s="24">
        <v>46210</v>
      </c>
      <c r="H22" s="24"/>
      <c r="I22" s="23" t="s">
        <v>34</v>
      </c>
      <c r="J22" s="23" t="s">
        <v>34</v>
      </c>
      <c r="K22" s="23" t="s">
        <v>35</v>
      </c>
      <c r="L22" s="23" t="s">
        <v>38</v>
      </c>
      <c r="M22" s="22">
        <v>10000</v>
      </c>
      <c r="N22" s="23" t="s">
        <v>33</v>
      </c>
      <c r="O22" s="23" t="s">
        <v>80</v>
      </c>
      <c r="P22" s="23" t="s">
        <v>85</v>
      </c>
    </row>
    <row r="23" spans="1:16" x14ac:dyDescent="0.3">
      <c r="A23" s="21" t="s">
        <v>79</v>
      </c>
      <c r="B23" s="21" t="s">
        <v>36</v>
      </c>
      <c r="C23" s="26" t="s">
        <v>78</v>
      </c>
      <c r="D23" s="21" t="s">
        <v>52</v>
      </c>
      <c r="E23" s="22">
        <v>410000</v>
      </c>
      <c r="F23" s="23" t="s">
        <v>33</v>
      </c>
      <c r="G23" s="24">
        <v>46245</v>
      </c>
      <c r="H23" s="24"/>
      <c r="I23" s="23" t="s">
        <v>34</v>
      </c>
      <c r="J23" s="23" t="s">
        <v>34</v>
      </c>
      <c r="K23" s="23" t="s">
        <v>35</v>
      </c>
      <c r="L23" s="23" t="s">
        <v>38</v>
      </c>
      <c r="M23" s="22">
        <v>10000</v>
      </c>
      <c r="N23" s="23" t="s">
        <v>33</v>
      </c>
      <c r="O23" s="23" t="s">
        <v>80</v>
      </c>
      <c r="P23" s="23" t="s">
        <v>85</v>
      </c>
    </row>
    <row r="24" spans="1:16" x14ac:dyDescent="0.3">
      <c r="A24" s="21" t="s">
        <v>79</v>
      </c>
      <c r="B24" s="21" t="s">
        <v>36</v>
      </c>
      <c r="C24" s="26" t="s">
        <v>78</v>
      </c>
      <c r="D24" s="21" t="s">
        <v>53</v>
      </c>
      <c r="E24" s="22">
        <v>1190000</v>
      </c>
      <c r="F24" s="23" t="s">
        <v>33</v>
      </c>
      <c r="G24" s="24">
        <v>46273</v>
      </c>
      <c r="H24" s="24"/>
      <c r="I24" s="23" t="s">
        <v>34</v>
      </c>
      <c r="J24" s="23" t="s">
        <v>34</v>
      </c>
      <c r="K24" s="23" t="s">
        <v>35</v>
      </c>
      <c r="L24" s="23" t="s">
        <v>38</v>
      </c>
      <c r="M24" s="22">
        <v>10000</v>
      </c>
      <c r="N24" s="23" t="s">
        <v>33</v>
      </c>
      <c r="O24" s="23" t="s">
        <v>80</v>
      </c>
      <c r="P24" s="23" t="s">
        <v>85</v>
      </c>
    </row>
    <row r="25" spans="1:16" x14ac:dyDescent="0.3">
      <c r="A25" s="21" t="s">
        <v>79</v>
      </c>
      <c r="B25" s="21" t="s">
        <v>36</v>
      </c>
      <c r="C25" s="26" t="s">
        <v>78</v>
      </c>
      <c r="D25" s="21" t="s">
        <v>54</v>
      </c>
      <c r="E25" s="22">
        <v>90000</v>
      </c>
      <c r="F25" s="23" t="s">
        <v>33</v>
      </c>
      <c r="G25" s="24">
        <v>46301</v>
      </c>
      <c r="H25" s="24"/>
      <c r="I25" s="23" t="s">
        <v>34</v>
      </c>
      <c r="J25" s="23" t="s">
        <v>34</v>
      </c>
      <c r="K25" s="23" t="s">
        <v>35</v>
      </c>
      <c r="L25" s="23" t="s">
        <v>38</v>
      </c>
      <c r="M25" s="22">
        <v>10000</v>
      </c>
      <c r="N25" s="23" t="s">
        <v>33</v>
      </c>
      <c r="O25" s="23" t="s">
        <v>80</v>
      </c>
      <c r="P25" s="23" t="s">
        <v>85</v>
      </c>
    </row>
    <row r="26" spans="1:16" x14ac:dyDescent="0.3">
      <c r="A26" s="21" t="s">
        <v>79</v>
      </c>
      <c r="B26" s="21" t="s">
        <v>36</v>
      </c>
      <c r="C26" s="26" t="s">
        <v>78</v>
      </c>
      <c r="D26" s="21" t="s">
        <v>55</v>
      </c>
      <c r="E26" s="22">
        <v>500000</v>
      </c>
      <c r="F26" s="23" t="s">
        <v>33</v>
      </c>
      <c r="G26" s="24">
        <v>46336</v>
      </c>
      <c r="H26" s="24"/>
      <c r="I26" s="23" t="s">
        <v>34</v>
      </c>
      <c r="J26" s="23" t="s">
        <v>34</v>
      </c>
      <c r="K26" s="23" t="s">
        <v>35</v>
      </c>
      <c r="L26" s="23" t="s">
        <v>38</v>
      </c>
      <c r="M26" s="22">
        <v>10000</v>
      </c>
      <c r="N26" s="23" t="s">
        <v>33</v>
      </c>
      <c r="O26" s="23" t="s">
        <v>80</v>
      </c>
      <c r="P26" s="23" t="s">
        <v>85</v>
      </c>
    </row>
  </sheetData>
  <autoFilter ref="A1:P1" xr:uid="{044E87A9-297B-40AC-85B9-B83B015BEE6F}">
    <sortState xmlns:xlrd2="http://schemas.microsoft.com/office/spreadsheetml/2017/richdata2" ref="A2:P26">
      <sortCondition ref="C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E4327-D5F6-431D-9271-D1C85E613E30}">
  <sheetPr codeName="Sheet5"/>
  <dimension ref="A1:B38"/>
  <sheetViews>
    <sheetView workbookViewId="0">
      <selection activeCell="B3" sqref="B3"/>
    </sheetView>
  </sheetViews>
  <sheetFormatPr defaultRowHeight="14.4" x14ac:dyDescent="0.3"/>
  <cols>
    <col min="1" max="1" width="12.44140625" bestFit="1" customWidth="1"/>
    <col min="2" max="2" width="20" style="6" bestFit="1" customWidth="1"/>
    <col min="3" max="3" width="7" bestFit="1" customWidth="1"/>
    <col min="4" max="4" width="10.5546875" bestFit="1" customWidth="1"/>
  </cols>
  <sheetData>
    <row r="1" spans="1:2" x14ac:dyDescent="0.3">
      <c r="A1" s="4" t="s">
        <v>8</v>
      </c>
      <c r="B1" s="7" t="s">
        <v>13</v>
      </c>
    </row>
    <row r="2" spans="1:2" x14ac:dyDescent="0.3">
      <c r="A2" s="5" t="s">
        <v>10</v>
      </c>
      <c r="B2" s="7"/>
    </row>
    <row r="3" spans="1:2" x14ac:dyDescent="0.3">
      <c r="A3" s="5" t="s">
        <v>74</v>
      </c>
      <c r="B3" s="7">
        <v>25000</v>
      </c>
    </row>
    <row r="4" spans="1:2" x14ac:dyDescent="0.3">
      <c r="A4" s="5" t="s">
        <v>75</v>
      </c>
      <c r="B4" s="7">
        <v>12000</v>
      </c>
    </row>
    <row r="5" spans="1:2" x14ac:dyDescent="0.3">
      <c r="A5" s="5" t="s">
        <v>76</v>
      </c>
      <c r="B5" s="7">
        <v>20000</v>
      </c>
    </row>
    <row r="6" spans="1:2" x14ac:dyDescent="0.3">
      <c r="A6" s="5" t="s">
        <v>77</v>
      </c>
      <c r="B6" s="7">
        <v>15000</v>
      </c>
    </row>
    <row r="7" spans="1:2" x14ac:dyDescent="0.3">
      <c r="A7" s="5" t="s">
        <v>78</v>
      </c>
      <c r="B7" s="7">
        <v>5360000</v>
      </c>
    </row>
    <row r="8" spans="1:2" x14ac:dyDescent="0.3">
      <c r="A8" s="5" t="s">
        <v>9</v>
      </c>
      <c r="B8" s="7">
        <v>5432000</v>
      </c>
    </row>
    <row r="9" spans="1:2" x14ac:dyDescent="0.3">
      <c r="B9"/>
    </row>
    <row r="10" spans="1:2" x14ac:dyDescent="0.3">
      <c r="B10"/>
    </row>
    <row r="11" spans="1:2" x14ac:dyDescent="0.3">
      <c r="B11"/>
    </row>
    <row r="12" spans="1:2" x14ac:dyDescent="0.3">
      <c r="B12"/>
    </row>
    <row r="13" spans="1:2" x14ac:dyDescent="0.3">
      <c r="B13"/>
    </row>
    <row r="14" spans="1:2" x14ac:dyDescent="0.3">
      <c r="B14"/>
    </row>
    <row r="15" spans="1:2" x14ac:dyDescent="0.3">
      <c r="B15"/>
    </row>
    <row r="16" spans="1:2" x14ac:dyDescent="0.3">
      <c r="B16"/>
    </row>
    <row r="17" spans="2:2" x14ac:dyDescent="0.3">
      <c r="B17"/>
    </row>
    <row r="18" spans="2:2" x14ac:dyDescent="0.3">
      <c r="B18"/>
    </row>
    <row r="19" spans="2:2" x14ac:dyDescent="0.3">
      <c r="B19"/>
    </row>
    <row r="20" spans="2:2" x14ac:dyDescent="0.3">
      <c r="B20"/>
    </row>
    <row r="21" spans="2:2" x14ac:dyDescent="0.3">
      <c r="B21"/>
    </row>
    <row r="22" spans="2:2" x14ac:dyDescent="0.3">
      <c r="B22"/>
    </row>
    <row r="23" spans="2:2" x14ac:dyDescent="0.3">
      <c r="B23"/>
    </row>
    <row r="24" spans="2:2" x14ac:dyDescent="0.3">
      <c r="B24"/>
    </row>
    <row r="25" spans="2:2" x14ac:dyDescent="0.3">
      <c r="B25"/>
    </row>
    <row r="26" spans="2:2" x14ac:dyDescent="0.3">
      <c r="B26"/>
    </row>
    <row r="27" spans="2:2" x14ac:dyDescent="0.3">
      <c r="B27"/>
    </row>
    <row r="28" spans="2:2" x14ac:dyDescent="0.3">
      <c r="B28"/>
    </row>
    <row r="29" spans="2:2" x14ac:dyDescent="0.3">
      <c r="B29"/>
    </row>
    <row r="30" spans="2:2" x14ac:dyDescent="0.3">
      <c r="B30"/>
    </row>
    <row r="31" spans="2:2" x14ac:dyDescent="0.3">
      <c r="B31"/>
    </row>
    <row r="32" spans="2:2" x14ac:dyDescent="0.3">
      <c r="B32"/>
    </row>
    <row r="33" spans="2:2" x14ac:dyDescent="0.3">
      <c r="B33"/>
    </row>
    <row r="34" spans="2:2" x14ac:dyDescent="0.3">
      <c r="B34"/>
    </row>
    <row r="35" spans="2:2" x14ac:dyDescent="0.3">
      <c r="B35"/>
    </row>
    <row r="36" spans="2:2" x14ac:dyDescent="0.3">
      <c r="B36"/>
    </row>
    <row r="37" spans="2:2" x14ac:dyDescent="0.3">
      <c r="B37"/>
    </row>
    <row r="38" spans="2:2" x14ac:dyDescent="0.3">
      <c r="B3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Close Fixed PR</vt:lpstr>
      <vt:lpstr>Combine PR</vt:lpstr>
      <vt:lpstr>Plan Order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GuiHong Choo</dc:creator>
  <cp:lastModifiedBy>HueiHwang Lim</cp:lastModifiedBy>
  <dcterms:created xsi:type="dcterms:W3CDTF">2024-08-08T01:35:32Z</dcterms:created>
  <dcterms:modified xsi:type="dcterms:W3CDTF">2025-08-20T13:40:49Z</dcterms:modified>
</cp:coreProperties>
</file>